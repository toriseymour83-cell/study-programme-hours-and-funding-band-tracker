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fariaonlineschools-my.sharepoint.com/personal/tori_seymour_pamojaeducation_com/Documents/Documents/Projects/Student Banding/"/>
    </mc:Choice>
  </mc:AlternateContent>
  <xr:revisionPtr revIDLastSave="25" documentId="8_{88239559-9E26-405C-8A1F-3FC1864D5127}" xr6:coauthVersionLast="47" xr6:coauthVersionMax="47" xr10:uidLastSave="{91700A84-35A0-4C37-9235-CFE1D2F85D0C}"/>
  <bookViews>
    <workbookView xWindow="28680" yWindow="-120" windowWidth="29040" windowHeight="15720" xr2:uid="{00000000-000D-0000-FFFF-FFFF00000000}"/>
  </bookViews>
  <sheets>
    <sheet name="Time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G5" i="1"/>
  <c r="C19" i="1"/>
  <c r="D19" i="1"/>
  <c r="F19" i="1"/>
  <c r="G19" i="1"/>
  <c r="B19" i="1"/>
  <c r="B8" i="1" l="1"/>
  <c r="B9" i="1" s="1"/>
</calcChain>
</file>

<file path=xl/sharedStrings.xml><?xml version="1.0" encoding="utf-8"?>
<sst xmlns="http://schemas.openxmlformats.org/spreadsheetml/2006/main" count="48" uniqueCount="41">
  <si>
    <t>Study Programme Timetable and Funding Band Tracker</t>
  </si>
  <si>
    <t>Original approach example for Seymour Skills and Learning</t>
  </si>
  <si>
    <t>Training Provider</t>
  </si>
  <si>
    <t>Seymour Skills and Learning</t>
  </si>
  <si>
    <t>Employer</t>
  </si>
  <si>
    <t>Oak Tree Café Ltd</t>
  </si>
  <si>
    <t>Student Name</t>
  </si>
  <si>
    <t>Amelia Carter</t>
  </si>
  <si>
    <t>Programme Weeks</t>
  </si>
  <si>
    <t>Programme Start</t>
  </si>
  <si>
    <t>01/09/2025</t>
  </si>
  <si>
    <t>Planned End</t>
  </si>
  <si>
    <t>30/06/2026</t>
  </si>
  <si>
    <t>Day</t>
  </si>
  <si>
    <t>Monday</t>
  </si>
  <si>
    <t>Tuesday</t>
  </si>
  <si>
    <t>Wednesday</t>
  </si>
  <si>
    <t>Thursday</t>
  </si>
  <si>
    <t>Friday</t>
  </si>
  <si>
    <t>9:30-10:30</t>
  </si>
  <si>
    <t>10:45-11:45</t>
  </si>
  <si>
    <t>11:55-12:55</t>
  </si>
  <si>
    <t>12:55-1:30</t>
  </si>
  <si>
    <t>1:30-2:30</t>
  </si>
  <si>
    <t>2:45-4:00</t>
  </si>
  <si>
    <t>L2 Maths</t>
  </si>
  <si>
    <t>L2 Animal Care</t>
  </si>
  <si>
    <t>LUNCH</t>
  </si>
  <si>
    <t>L1 English</t>
  </si>
  <si>
    <t>L1 EDSQ</t>
  </si>
  <si>
    <t>Total hours per week</t>
  </si>
  <si>
    <t>Total hours in programme</t>
  </si>
  <si>
    <t>L2 Food Safety and Hygiene</t>
  </si>
  <si>
    <t>Total hours</t>
  </si>
  <si>
    <t>Session 1</t>
  </si>
  <si>
    <t>Session 2</t>
  </si>
  <si>
    <t>Session 3</t>
  </si>
  <si>
    <t>Session 4</t>
  </si>
  <si>
    <t>Session 5</t>
  </si>
  <si>
    <t>Session 6</t>
  </si>
  <si>
    <t>Funding 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</si>
</sst>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sz val="8"/>
      <name val="Carlito"/>
    </font>
    <font>
      <b/>
      <sz val="11"/>
      <name val="Abadi"/>
      <family val="2"/>
    </font>
    <font>
      <b/>
      <sz val="11"/>
      <color theme="1"/>
      <name val="Abadi"/>
      <family val="2"/>
    </font>
    <font>
      <b/>
      <sz val="16"/>
      <color rgb="FF173F7A"/>
      <name val="Abadi"/>
      <family val="2"/>
    </font>
    <font>
      <sz val="11"/>
      <name val="Abadi"/>
      <family val="2"/>
    </font>
    <font>
      <i/>
      <sz val="11"/>
      <color rgb="FF256C73"/>
      <name val="Abadi"/>
      <family val="2"/>
    </font>
    <font>
      <b/>
      <sz val="11"/>
      <color theme="0"/>
      <name val="Abadi"/>
      <family val="2"/>
    </font>
  </fonts>
  <fills count="12">
    <fill>
      <patternFill patternType="none"/>
    </fill>
    <fill>
      <patternFill patternType="gray125"/>
    </fill>
    <fill>
      <patternFill patternType="solid">
        <fgColor rgb="FFDCEAF7"/>
      </patternFill>
    </fill>
    <fill>
      <patternFill patternType="solid">
        <fgColor rgb="FFEEF5FB"/>
      </patternFill>
    </fill>
    <fill>
      <patternFill patternType="solid">
        <fgColor rgb="FFF9FCFE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6" fillId="3" borderId="0" xfId="0" applyFont="1" applyFill="1" applyAlignment="1">
      <alignment horizontal="center" vertical="center"/>
    </xf>
    <xf numFmtId="0" fontId="2" fillId="8" borderId="2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2" fillId="11" borderId="7" xfId="0" applyFont="1" applyFill="1" applyBorder="1" applyAlignment="1">
      <alignment horizontal="left" vertical="top"/>
    </xf>
    <xf numFmtId="0" fontId="5" fillId="4" borderId="8" xfId="0" applyFont="1" applyFill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2" fillId="10" borderId="7" xfId="0" applyFont="1" applyFill="1" applyBorder="1" applyAlignment="1">
      <alignment horizontal="left" vertical="top"/>
    </xf>
    <xf numFmtId="0" fontId="2" fillId="11" borderId="9" xfId="0" applyFont="1" applyFill="1" applyBorder="1" applyAlignment="1">
      <alignment horizontal="left" vertical="top"/>
    </xf>
    <xf numFmtId="0" fontId="5" fillId="4" borderId="10" xfId="0" applyFont="1" applyFill="1" applyBorder="1" applyAlignment="1">
      <alignment horizontal="left" vertical="top"/>
    </xf>
    <xf numFmtId="0" fontId="2" fillId="10" borderId="9" xfId="0" applyFont="1" applyFill="1" applyBorder="1" applyAlignment="1">
      <alignment horizontal="left" vertical="top"/>
    </xf>
    <xf numFmtId="1" fontId="5" fillId="4" borderId="10" xfId="0" applyNumberFormat="1" applyFont="1" applyFill="1" applyBorder="1" applyAlignment="1">
      <alignment horizontal="left" vertical="top"/>
    </xf>
    <xf numFmtId="0" fontId="2" fillId="11" borderId="11" xfId="0" applyFont="1" applyFill="1" applyBorder="1" applyAlignment="1">
      <alignment horizontal="left" vertical="top"/>
    </xf>
    <xf numFmtId="0" fontId="5" fillId="4" borderId="12" xfId="0" applyFont="1" applyFill="1" applyBorder="1" applyAlignment="1">
      <alignment horizontal="left" vertical="top"/>
    </xf>
    <xf numFmtId="0" fontId="2" fillId="10" borderId="11" xfId="0" applyFont="1" applyFill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5" fillId="0" borderId="6" xfId="0" applyFont="1" applyBorder="1" applyAlignment="1">
      <alignment horizontal="left" vertical="top"/>
    </xf>
    <xf numFmtId="0" fontId="2" fillId="9" borderId="13" xfId="0" applyFont="1" applyFill="1" applyBorder="1" applyAlignment="1">
      <alignment horizontal="left" vertical="top"/>
    </xf>
    <xf numFmtId="0" fontId="5" fillId="0" borderId="14" xfId="0" applyFont="1" applyBorder="1" applyAlignment="1">
      <alignment horizontal="left" vertical="top"/>
    </xf>
    <xf numFmtId="0" fontId="2" fillId="9" borderId="7" xfId="0" applyFont="1" applyFill="1" applyBorder="1" applyAlignment="1">
      <alignment horizontal="left" vertical="top"/>
    </xf>
    <xf numFmtId="0" fontId="2" fillId="9" borderId="11" xfId="0" applyFont="1" applyFill="1" applyBorder="1" applyAlignment="1">
      <alignment horizontal="left" vertical="top"/>
    </xf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name val="Abad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badi"/>
        <family val="2"/>
        <scheme val="none"/>
      </font>
      <fill>
        <patternFill patternType="solid">
          <fgColor indexed="64"/>
          <bgColor theme="3" tint="0.74999237037263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Abad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bad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bad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bad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bad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badi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badi"/>
        <family val="2"/>
        <scheme val="none"/>
      </font>
      <fill>
        <patternFill patternType="solid">
          <fgColor indexed="64"/>
          <bgColor theme="3" tint="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4473DD-128A-4E48-8C96-51DC31600C90}" name="Student_Timetable" displayName="Student_Timetable" ref="A12:G19" totalsRowShown="0" headerRowDxfId="1" dataDxfId="0" headerRowBorderDxfId="9">
  <autoFilter ref="A12:G19" xr:uid="{E44473DD-128A-4E48-8C96-51DC31600C90}"/>
  <tableColumns count="7">
    <tableColumn id="1" xr3:uid="{CEF1B3D0-13CE-4F44-A496-BFA796A77F91}" name="Day" dataDxfId="8"/>
    <tableColumn id="2" xr3:uid="{E9455121-B219-449E-A810-7AF6387F905E}" name="Session 1" dataDxfId="7"/>
    <tableColumn id="3" xr3:uid="{E987E285-D993-4C10-9859-8AECEAB9F3FA}" name="Session 2" dataDxfId="6"/>
    <tableColumn id="4" xr3:uid="{6D32BC98-F174-47BF-BECD-B73B5F25A6CA}" name="Session 3" dataDxfId="5"/>
    <tableColumn id="5" xr3:uid="{1C219120-78D6-4CE1-AE2B-E854E128652F}" name="Session 4" dataDxfId="4"/>
    <tableColumn id="6" xr3:uid="{85A387E0-3B63-437F-9AB7-5D4938977ABC}" name="Session 5" dataDxfId="3"/>
    <tableColumn id="7" xr3:uid="{845C9057-3C8A-4DAE-8409-290B8B0D0B1E}" name="Session 6" dataDxfId="2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sqref="A1:H1"/>
    </sheetView>
  </sheetViews>
  <sheetFormatPr defaultRowHeight="14.5"/>
  <cols>
    <col min="1" max="1" width="27.1640625" style="4" customWidth="1"/>
    <col min="2" max="7" width="24.33203125" style="4" customWidth="1"/>
    <col min="8" max="8" width="12" style="4" customWidth="1"/>
    <col min="9" max="16384" width="8.6640625" style="4"/>
  </cols>
  <sheetData>
    <row r="1" spans="1:8" ht="20.5" customHeight="1">
      <c r="A1" s="2" t="s">
        <v>0</v>
      </c>
      <c r="B1" s="3"/>
      <c r="C1" s="3"/>
      <c r="D1" s="3"/>
      <c r="E1" s="3"/>
      <c r="F1" s="3"/>
      <c r="G1" s="3"/>
      <c r="H1" s="3"/>
    </row>
    <row r="2" spans="1:8" ht="16" customHeight="1">
      <c r="A2" s="5" t="s">
        <v>1</v>
      </c>
      <c r="B2" s="3"/>
      <c r="C2" s="3"/>
      <c r="D2" s="3"/>
      <c r="E2" s="3"/>
      <c r="F2" s="3"/>
      <c r="G2" s="3"/>
      <c r="H2" s="3"/>
    </row>
    <row r="3" spans="1:8" ht="15.5" thickBot="1"/>
    <row r="4" spans="1:8" ht="15">
      <c r="A4" s="13" t="s">
        <v>2</v>
      </c>
      <c r="B4" s="14" t="s">
        <v>3</v>
      </c>
      <c r="C4" s="15"/>
      <c r="D4" s="15"/>
      <c r="E4" s="15"/>
      <c r="F4" s="16" t="s">
        <v>4</v>
      </c>
      <c r="G4" s="14" t="s">
        <v>5</v>
      </c>
    </row>
    <row r="5" spans="1:8" ht="15">
      <c r="A5" s="17" t="s">
        <v>6</v>
      </c>
      <c r="B5" s="18" t="s">
        <v>7</v>
      </c>
      <c r="C5" s="15"/>
      <c r="D5" s="15"/>
      <c r="E5" s="15"/>
      <c r="F5" s="19" t="s">
        <v>8</v>
      </c>
      <c r="G5" s="20">
        <f>ROUNDUP((G6-B6+1)/7,0)</f>
        <v>44</v>
      </c>
    </row>
    <row r="6" spans="1:8" ht="15.5" thickBot="1">
      <c r="A6" s="21" t="s">
        <v>9</v>
      </c>
      <c r="B6" s="22" t="s">
        <v>10</v>
      </c>
      <c r="C6" s="15"/>
      <c r="D6" s="15"/>
      <c r="E6" s="15"/>
      <c r="F6" s="23" t="s">
        <v>11</v>
      </c>
      <c r="G6" s="22" t="s">
        <v>12</v>
      </c>
    </row>
    <row r="7" spans="1:8" ht="15.5" thickBot="1">
      <c r="A7" s="15"/>
      <c r="B7" s="15"/>
      <c r="C7" s="15"/>
      <c r="D7" s="15"/>
      <c r="E7" s="15"/>
      <c r="F7" s="15"/>
      <c r="G7" s="15"/>
    </row>
    <row r="8" spans="1:8" ht="15">
      <c r="A8" s="28" t="s">
        <v>30</v>
      </c>
      <c r="B8" s="24">
        <f>SUM(B19:G19)</f>
        <v>8.2499999999999964</v>
      </c>
      <c r="C8" s="15"/>
      <c r="D8" s="15"/>
      <c r="E8" s="15"/>
      <c r="F8" s="15"/>
      <c r="G8" s="15"/>
    </row>
    <row r="9" spans="1:8" ht="15.5" thickBot="1">
      <c r="A9" s="29" t="s">
        <v>31</v>
      </c>
      <c r="B9" s="25">
        <f>SUM(B8*G5)</f>
        <v>362.99999999999983</v>
      </c>
      <c r="C9" s="15"/>
      <c r="D9" s="15"/>
      <c r="E9" s="15"/>
      <c r="F9" s="15"/>
      <c r="G9" s="15"/>
    </row>
    <row r="10" spans="1:8" ht="15.5" thickBot="1">
      <c r="A10" s="26" t="s">
        <v>40</v>
      </c>
      <c r="B10" s="27" t="str">
        <f>IF(B9&gt;=580,"Band 5",IF(B9&gt;=485,"Band 4b",IF(B9&gt;=385,"Band 3",IF(B9&gt;=300,"Band 2","Band 1"))))</f>
        <v>Band 2</v>
      </c>
      <c r="C10" s="15"/>
      <c r="D10" s="15"/>
      <c r="E10" s="15"/>
      <c r="F10" s="15"/>
      <c r="G10" s="15"/>
    </row>
    <row r="11" spans="1:8" ht="15"/>
    <row r="12" spans="1:8" ht="28.5" customHeight="1">
      <c r="A12" s="11" t="s">
        <v>13</v>
      </c>
      <c r="B12" s="6" t="s">
        <v>34</v>
      </c>
      <c r="C12" s="6" t="s">
        <v>35</v>
      </c>
      <c r="D12" s="6" t="s">
        <v>36</v>
      </c>
      <c r="E12" s="6" t="s">
        <v>37</v>
      </c>
      <c r="F12" s="6" t="s">
        <v>38</v>
      </c>
      <c r="G12" s="6" t="s">
        <v>39</v>
      </c>
    </row>
    <row r="13" spans="1:8" ht="28.5" customHeight="1">
      <c r="A13" s="10"/>
      <c r="B13" s="12" t="s">
        <v>19</v>
      </c>
      <c r="C13" s="12" t="s">
        <v>20</v>
      </c>
      <c r="D13" s="12" t="s">
        <v>21</v>
      </c>
      <c r="E13" s="12" t="s">
        <v>22</v>
      </c>
      <c r="F13" s="12" t="s">
        <v>23</v>
      </c>
      <c r="G13" s="12" t="s">
        <v>24</v>
      </c>
    </row>
    <row r="14" spans="1:8" ht="28.5" customHeight="1">
      <c r="A14" s="8" t="s">
        <v>14</v>
      </c>
      <c r="B14" s="1" t="s">
        <v>25</v>
      </c>
      <c r="C14" s="1" t="s">
        <v>28</v>
      </c>
      <c r="D14" s="1" t="s">
        <v>29</v>
      </c>
      <c r="E14" s="7" t="s">
        <v>27</v>
      </c>
      <c r="F14" s="1" t="s">
        <v>32</v>
      </c>
      <c r="G14" s="1" t="s">
        <v>26</v>
      </c>
    </row>
    <row r="15" spans="1:8" ht="28.5" customHeight="1">
      <c r="A15" s="8" t="s">
        <v>15</v>
      </c>
      <c r="B15" s="1" t="s">
        <v>28</v>
      </c>
      <c r="C15" s="1" t="s">
        <v>25</v>
      </c>
      <c r="D15" s="1" t="s">
        <v>26</v>
      </c>
      <c r="E15" s="7" t="s">
        <v>27</v>
      </c>
      <c r="F15" s="1"/>
      <c r="G15" s="1"/>
    </row>
    <row r="16" spans="1:8" ht="28.5" customHeight="1">
      <c r="A16" s="8" t="s">
        <v>16</v>
      </c>
      <c r="B16" s="1"/>
      <c r="C16" s="1"/>
      <c r="D16" s="1"/>
      <c r="E16" s="7" t="s">
        <v>27</v>
      </c>
      <c r="F16" s="1"/>
      <c r="G16" s="1"/>
    </row>
    <row r="17" spans="1:7" ht="28.5" customHeight="1">
      <c r="A17" s="8" t="s">
        <v>17</v>
      </c>
      <c r="B17" s="1"/>
      <c r="C17" s="1"/>
      <c r="D17" s="1"/>
      <c r="E17" s="7" t="s">
        <v>27</v>
      </c>
      <c r="F17" s="1"/>
      <c r="G17" s="1"/>
    </row>
    <row r="18" spans="1:7" ht="28.5" customHeight="1">
      <c r="A18" s="8" t="s">
        <v>18</v>
      </c>
      <c r="B18" s="1"/>
      <c r="C18" s="1"/>
      <c r="D18" s="1"/>
      <c r="E18" s="7" t="s">
        <v>27</v>
      </c>
      <c r="F18" s="1"/>
      <c r="G18" s="1"/>
    </row>
    <row r="19" spans="1:7" ht="14" customHeight="1">
      <c r="A19" s="9" t="s">
        <v>33</v>
      </c>
      <c r="B19" s="4">
        <f>COUNTIFS(B14:B18,"&lt;&gt;",B14:B18,"&lt;&gt;LUNCH")*(24*(TIMEVALUE(_xlfn.TEXTAFTER(B$13,"-"))-TIMEVALUE(_xlfn.TEXTBEFORE(B$13,"-"))))</f>
        <v>2.0000000000000009</v>
      </c>
      <c r="C19" s="4">
        <f>COUNTIFS(C14:C18,"&lt;&gt;",C14:C18,"&lt;&gt;LUNCH")*(24*(TIMEVALUE(_xlfn.TEXTAFTER(C$13,"-"))-TIMEVALUE(_xlfn.TEXTBEFORE(C$13,"-"))))</f>
        <v>1.9999999999999982</v>
      </c>
      <c r="D19" s="4">
        <f>COUNTIFS(D14:D18,"&lt;&gt;",D14:D18,"&lt;&gt;LUNCH")*(24*(TIMEVALUE(_xlfn.TEXTAFTER(D$13,"-"))-TIMEVALUE(_xlfn.TEXTBEFORE(D$13,"-"))))</f>
        <v>1.9999999999999982</v>
      </c>
      <c r="F19" s="4">
        <f>COUNTIFS(F14:F18,"&lt;&gt;",F14:F18,"&lt;&gt;LUNCH")*(24*(TIMEVALUE(_xlfn.TEXTAFTER(F$13,"-"))-TIMEVALUE(_xlfn.TEXTBEFORE(F$13,"-"))))</f>
        <v>1</v>
      </c>
      <c r="G19" s="4">
        <f>COUNTIFS(G14:G18,"&lt;&gt;",G14:G18,"&lt;&gt;LUNCH")*(24*(TIMEVALUE(_xlfn.TEXTAFTER(G$13,"-"))-TIMEVALUE(_xlfn.TEXTBEFORE(G$13,"-"))))</f>
        <v>1.25</v>
      </c>
    </row>
  </sheetData>
  <mergeCells count="2">
    <mergeCell ref="A1:H1"/>
    <mergeCell ref="A2:H2"/>
  </mergeCells>
  <phoneticPr fontId="1" type="noConversion"/>
  <dataValidations count="1">
    <dataValidation type="list" allowBlank="1" showInputMessage="1" showErrorMessage="1" sqref="B14:D18 F14:G18" xr:uid="{DAC61E31-5740-4E29-947A-E105BAC0E645}">
      <formula1>"L1 English, L2 English, L1 Maths, L2 Maths, L2 Retail, L2 Animal Care, L1 EDSQ, L1 Customer Service, L2 Food Safety and Hygiene"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Tori Seymour, BEM</cp:lastModifiedBy>
  <dcterms:created xsi:type="dcterms:W3CDTF">2026-04-23T10:17:34Z</dcterms:created>
  <dcterms:modified xsi:type="dcterms:W3CDTF">2026-04-23T10:26:24Z</dcterms:modified>
</cp:coreProperties>
</file>